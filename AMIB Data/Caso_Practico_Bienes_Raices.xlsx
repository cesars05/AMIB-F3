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d7436578886c79/Desktop/AMIB/"/>
    </mc:Choice>
  </mc:AlternateContent>
  <xr:revisionPtr revIDLastSave="67" documentId="11_86E548DE09BA5A74617BDA55244952D6F42C92D2" xr6:coauthVersionLast="47" xr6:coauthVersionMax="47" xr10:uidLastSave="{419F46C3-C671-494D-BC3C-6E38ABA64306}"/>
  <bookViews>
    <workbookView xWindow="-108" yWindow="-108" windowWidth="23256" windowHeight="13896" activeTab="3" xr2:uid="{00000000-000D-0000-FFFF-FFFF00000000}"/>
  </bookViews>
  <sheets>
    <sheet name="Instrucciones" sheetId="1" r:id="rId1"/>
    <sheet name="Caso A - GIM" sheetId="2" r:id="rId2"/>
    <sheet name="Caso B - NOI CapRate TIR" sheetId="3" r:id="rId3"/>
    <sheet name="Caso C - Cost Approac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55" i="3"/>
  <c r="C56" i="3"/>
  <c r="H53" i="3"/>
  <c r="G53" i="3"/>
  <c r="F53" i="3"/>
  <c r="E53" i="3"/>
  <c r="D53" i="3"/>
  <c r="C53" i="3"/>
  <c r="C48" i="3"/>
  <c r="C50" i="3"/>
  <c r="C49" i="3"/>
  <c r="C37" i="3"/>
  <c r="H35" i="3"/>
  <c r="G35" i="3"/>
  <c r="F35" i="3"/>
  <c r="E35" i="3"/>
  <c r="D35" i="3"/>
  <c r="C35" i="3"/>
  <c r="C29" i="3"/>
  <c r="C31" i="3"/>
  <c r="C30" i="3"/>
  <c r="C26" i="3"/>
  <c r="C27" i="3" s="1"/>
  <c r="C25" i="3" l="1"/>
  <c r="I23" i="3"/>
  <c r="H23" i="3"/>
  <c r="G23" i="3"/>
  <c r="F23" i="3"/>
  <c r="E23" i="3"/>
  <c r="C13" i="2"/>
  <c r="D23" i="3"/>
  <c r="C12" i="2"/>
  <c r="D20" i="3"/>
  <c r="E20" i="3" s="1"/>
  <c r="F20" i="3" s="1"/>
  <c r="G20" i="3" s="1"/>
  <c r="H20" i="3" s="1"/>
  <c r="I20" i="3" s="1"/>
  <c r="G19" i="3"/>
  <c r="H19" i="3" s="1"/>
  <c r="I19" i="3" s="1"/>
  <c r="F19" i="3"/>
  <c r="E19" i="3"/>
  <c r="D19" i="3"/>
</calcChain>
</file>

<file path=xl/sharedStrings.xml><?xml version="1.0" encoding="utf-8"?>
<sst xmlns="http://schemas.openxmlformats.org/spreadsheetml/2006/main" count="83" uniqueCount="80">
  <si>
    <t>CASO PRACTICO — Inversion y Valuacion en Bienes Raices (ITESM)</t>
  </si>
  <si>
    <t>Este archivo tiene 3 casos independientes para practicar lo que vimos en las Fases 1 a 5:</t>
  </si>
  <si>
    <t>Caso A — GIM (pestana 'Caso A - GIM')</t>
  </si>
  <si>
    <t>Enfoque de Ingresos simple: calcular EGI y GIM, y comparar contra un comparable de mercado.</t>
  </si>
  <si>
    <t>Caso B — NOI, Cap Rate, Proforma y TIR (pestana 'Caso B - NOI CapRate TIR')</t>
  </si>
  <si>
    <t>El caso principal: proyectar 6 anos de renta y gastos, calcular NOI, valuar por Cap Rate (entrada y salida), armar el flujo de efectivo (DCF) y calcular la TIR Unlevered. Incluye una seccion BONUS de apalancamiento (Cash on Cash y TIR Levered) que es un adelanto de la Fase 6 — resuelvela solo si quieres el reto extra.</t>
  </si>
  <si>
    <t>Caso C — Cost Approach (pestana 'Caso C - Cost Approach')</t>
  </si>
  <si>
    <t>Calcular el valor por el enfoque de costo y compararlo contra los valores ya obtenidos por Comparables e Ingresos para la misma propiedad — ejercicio de reconciliacion de las 3 metodologias.</t>
  </si>
  <si>
    <t>Como leer las celdas</t>
  </si>
  <si>
    <t xml:space="preserve">  Azul con fondo claro = dato DADO del caso (no lo cambies, es un supuesto o input).</t>
  </si>
  <si>
    <t xml:space="preserve">  Amarillo = celda que TU debes llenar (con formula o numero, segun corresponda).</t>
  </si>
  <si>
    <t xml:space="preserve">  Texto normal en negro = etiquetas o formulas que ya vienen resueltas (por ejemplo, las proyecciones de renta/gastos, que son datos derivados de los supuestos, no parte del ejercicio).</t>
  </si>
  <si>
    <t>Tip: usa la funcion =TIR() de Excel para las preguntas de TIR (selecciona el rango completo de flujos, desde el ano 0).</t>
  </si>
  <si>
    <t>Cuando termines, mandame tus resultados en el chat y los revisamos juntos.</t>
  </si>
  <si>
    <t>CASO A — Gross Income Multiplier (GIM)</t>
  </si>
  <si>
    <t>Plaza retail 'Los Encinos' (strip center) se vendio hace 3 meses. Quieres saber si el precio de venta fue caro o barato frente al mercado, usando el multiplo GIM.</t>
  </si>
  <si>
    <t>Datos del caso</t>
  </si>
  <si>
    <t>Ingreso Bruto Potencial (PGI) anual, 100% ocupacion</t>
  </si>
  <si>
    <t>Vacancia estimada del submercado</t>
  </si>
  <si>
    <t>Precio de venta observado</t>
  </si>
  <si>
    <t>GIM de un comparable de referencia (dado por el corredor)</t>
  </si>
  <si>
    <t>Lo que tienes que calcular</t>
  </si>
  <si>
    <t>Effective Gross Income (EGI)</t>
  </si>
  <si>
    <t>GIM de la propiedad (usando EGI)</t>
  </si>
  <si>
    <t>Vs. el GIM comparable (7.5x): ¿la propiedad se vendio cara o barata? ¿por que?</t>
  </si>
  <si>
    <t>Nota: PGI, Vacancia y Precio son datos dados; EGI y GIM debes calcularlos tu con formula.</t>
  </si>
  <si>
    <t>CASO B — Nave Industrial 'Nexus Industrial Park', Apodaca NL</t>
  </si>
  <si>
    <t>Una nave industrial de 12,000 m2, ocupada al 100% por un solo inquilino de logistica, esta en venta. Quieres decidir si comprarla, proyectando 5 anos de operacion (mas un ano 6 de referencia para valuar la salida) y calculando el retorno esperado (TIR).</t>
  </si>
  <si>
    <t>Area rentable (m2)</t>
  </si>
  <si>
    <t>Renta mensual actual (100% ocupada)</t>
  </si>
  <si>
    <t>Incremento contractual de renta (anual)</t>
  </si>
  <si>
    <t>Gastos operativos - ano 1 (anual)</t>
  </si>
  <si>
    <t>Incremento de gastos operativos (anual)</t>
  </si>
  <si>
    <t>Going-In Cap Rate (mercado, hoy)</t>
  </si>
  <si>
    <t>Exit Cap Rate (asumido a la salida)</t>
  </si>
  <si>
    <t>Holding Period (anos)</t>
  </si>
  <si>
    <t>Costos de adquisicion (legal + DD), % sobre precio de compra</t>
  </si>
  <si>
    <t>Comision de venta (broker), % sobre valor de venta</t>
  </si>
  <si>
    <t>Proyeccion de Renta y Gastos (dato derivado — ya viene resuelto)</t>
  </si>
  <si>
    <t>Ano</t>
  </si>
  <si>
    <t>Renta Anual</t>
  </si>
  <si>
    <t>Gastos Operativos</t>
  </si>
  <si>
    <t>Lo que tienes que calcular: NOI y valuacion</t>
  </si>
  <si>
    <t>NOI (Renta - Gastos)</t>
  </si>
  <si>
    <t>Precio de Compra (Going-In) = NOI ano 1 / Going-In Cap Rate</t>
  </si>
  <si>
    <t>Costos de Adquisicion = Precio de Compra x %</t>
  </si>
  <si>
    <t>Inversion Total (Ano 0) = Precio de Compra + Costos de Adquisicion</t>
  </si>
  <si>
    <t>Valor de Venta (Ano 5) = NOI ano 6 / Exit Cap Rate</t>
  </si>
  <si>
    <t>Comision de Venta = Valor de Venta x %</t>
  </si>
  <si>
    <t>Venta Neta (Ano 5) = Valor de Venta - Comision</t>
  </si>
  <si>
    <t>Flujo de Efectivo Unlevered y TIR</t>
  </si>
  <si>
    <t>Flujo Unlevered (Ano 0 a Ano 5)</t>
  </si>
  <si>
    <t>TIR Unlevered (usa =TIR() sobre el rango de flujos)</t>
  </si>
  <si>
    <t>Pista: la celda amarilla de 'Flujo Unlevered' en Ano 0 debe ser negativa (es la inversion); en Anos 1-4 es el NOI del ano; en Ano 5 es NOI + Venta Neta.</t>
  </si>
  <si>
    <t>BONUS (adelanto de Fase 6) — Apalancamiento, Cash on Cash y TIR Levered</t>
  </si>
  <si>
    <t>Opcional. Resuelvelo si quieres ir mas alla de lo visto en clase hasta ahora.</t>
  </si>
  <si>
    <t>LTV (Loan to Value)</t>
  </si>
  <si>
    <t>Tasa de interes anual (interest-only, sin amortizacion)</t>
  </si>
  <si>
    <t>Monto de Deuda = Precio de Compra x LTV</t>
  </si>
  <si>
    <t>Interes Anual = Monto de Deuda x Tasa</t>
  </si>
  <si>
    <t>Equity Investment = Inversion Total - Monto de Deuda</t>
  </si>
  <si>
    <t>Flujo Levered (Cash Flow to Equity)</t>
  </si>
  <si>
    <t>Cash on Cash Ano 1 = (NOI1 - Interes) / Equity Investment</t>
  </si>
  <si>
    <t>TIR Levered (usa =TIR() sobre el flujo levered)</t>
  </si>
  <si>
    <t>¿Hay palanca positiva? (TIR Unlevered vs. Tasa de interes)</t>
  </si>
  <si>
    <t>CASO C — Reconciliacion de las 3 Metodologias</t>
  </si>
  <si>
    <t>Una bodega en Escobedo, NL ya fue valuada por Comparables y por Ingresos. Te falta calcular el valor por Costo de Reemplazo, y despues decidir que valor final recomendarias.</t>
  </si>
  <si>
    <t>Datos para el Cost Approach</t>
  </si>
  <si>
    <t>Costo de Reemplazo Nuevo (terreno + construccion)</t>
  </si>
  <si>
    <t>Deterioro Fisico estimado</t>
  </si>
  <si>
    <t>Obsolescencia Funcional estimada</t>
  </si>
  <si>
    <t>Obsolescencia Externa estimada</t>
  </si>
  <si>
    <t>Valor por Cost Approach = Costo de Reemplazo - (Deterioro + Obs. Funcional + Obs. Externa)</t>
  </si>
  <si>
    <t>Valores ya obtenidos por las otras 2 metodologias (dato dado)</t>
  </si>
  <si>
    <t>Valor por Sales/Comparables Approach</t>
  </si>
  <si>
    <t>Valor por Income Approach</t>
  </si>
  <si>
    <t>Reconciliacion: ¿que valor final recomendarias para esta bodega y por que? (usa lo que vimos de cuando conviene mas cada metodologia)</t>
  </si>
  <si>
    <t>Caro, se vendio a mas</t>
  </si>
  <si>
    <t>Positiva</t>
  </si>
  <si>
    <t>El income Aprach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</si>
</sst>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0&quot;x&quot;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FF"/>
      <name val="Arial"/>
      <family val="2"/>
    </font>
    <font>
      <i/>
      <sz val="11"/>
      <color rgb="FF595959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5" fillId="4" borderId="0" xfId="0" applyFont="1" applyFill="1"/>
    <xf numFmtId="0" fontId="3" fillId="5" borderId="0" xfId="0" applyFont="1" applyFill="1"/>
    <xf numFmtId="0" fontId="3" fillId="0" borderId="0" xfId="0" applyFont="1"/>
    <xf numFmtId="0" fontId="6" fillId="0" borderId="0" xfId="0" applyFont="1"/>
    <xf numFmtId="164" fontId="5" fillId="4" borderId="1" xfId="0" applyNumberFormat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0" xfId="0" applyFont="1"/>
    <xf numFmtId="3" fontId="5" fillId="4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8" fillId="6" borderId="0" xfId="0" applyFont="1" applyFill="1"/>
    <xf numFmtId="0" fontId="8" fillId="6" borderId="0" xfId="0" applyFont="1" applyFill="1" applyAlignment="1">
      <alignment horizontal="center"/>
    </xf>
    <xf numFmtId="0" fontId="0" fillId="0" borderId="1" xfId="0" applyBorder="1"/>
    <xf numFmtId="164" fontId="3" fillId="0" borderId="1" xfId="0" applyNumberFormat="1" applyFont="1" applyBorder="1"/>
    <xf numFmtId="0" fontId="0" fillId="5" borderId="1" xfId="0" applyFill="1" applyBorder="1"/>
    <xf numFmtId="10" fontId="3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wrapText="1"/>
    </xf>
    <xf numFmtId="0" fontId="0" fillId="0" borderId="2" xfId="0" applyBorder="1"/>
    <xf numFmtId="0" fontId="3" fillId="0" borderId="0" xfId="0" applyFont="1" applyAlignment="1">
      <alignment horizontal="center" wrapText="1"/>
    </xf>
    <xf numFmtId="164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E1B057-869D-4BAA-A47F-A2D16E908FF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e968f5a-1585-49d9-bbaf-9f0339d5b8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opLeftCell="A2" workbookViewId="0">
      <selection sqref="A1:C1"/>
    </sheetView>
  </sheetViews>
  <sheetFormatPr defaultRowHeight="14.4" x14ac:dyDescent="0.3"/>
  <cols>
    <col min="1" max="1" width="3" customWidth="1"/>
    <col min="2" max="2" width="90" customWidth="1"/>
    <col min="3" max="3" width="3" customWidth="1"/>
  </cols>
  <sheetData>
    <row r="1" spans="1:3" ht="25.95" customHeight="1" x14ac:dyDescent="0.3">
      <c r="A1" s="28" t="s">
        <v>0</v>
      </c>
      <c r="B1" s="26"/>
      <c r="C1" s="26"/>
    </row>
    <row r="3" spans="1:3" x14ac:dyDescent="0.3">
      <c r="B3" s="1" t="s">
        <v>1</v>
      </c>
    </row>
    <row r="5" spans="1:3" x14ac:dyDescent="0.3">
      <c r="B5" s="1" t="s">
        <v>2</v>
      </c>
    </row>
    <row r="6" spans="1:3" ht="30" customHeight="1" x14ac:dyDescent="0.3">
      <c r="B6" s="2" t="s">
        <v>3</v>
      </c>
    </row>
    <row r="8" spans="1:3" x14ac:dyDescent="0.3">
      <c r="B8" s="1" t="s">
        <v>4</v>
      </c>
    </row>
    <row r="9" spans="1:3" ht="30" customHeight="1" x14ac:dyDescent="0.3">
      <c r="B9" s="2" t="s">
        <v>5</v>
      </c>
    </row>
    <row r="11" spans="1:3" x14ac:dyDescent="0.3">
      <c r="B11" s="1" t="s">
        <v>6</v>
      </c>
    </row>
    <row r="12" spans="1:3" ht="30" customHeight="1" x14ac:dyDescent="0.3">
      <c r="B12" s="2" t="s">
        <v>7</v>
      </c>
    </row>
    <row r="15" spans="1:3" ht="15.6" x14ac:dyDescent="0.3">
      <c r="B15" s="25" t="s">
        <v>8</v>
      </c>
    </row>
    <row r="17" spans="2:2" x14ac:dyDescent="0.3">
      <c r="B17" s="3" t="s">
        <v>9</v>
      </c>
    </row>
    <row r="18" spans="2:2" x14ac:dyDescent="0.3">
      <c r="B18" s="4" t="s">
        <v>10</v>
      </c>
    </row>
    <row r="19" spans="2:2" x14ac:dyDescent="0.3">
      <c r="B19" s="5" t="s">
        <v>11</v>
      </c>
    </row>
    <row r="22" spans="2:2" x14ac:dyDescent="0.3">
      <c r="B22" s="6" t="s">
        <v>12</v>
      </c>
    </row>
    <row r="23" spans="2:2" x14ac:dyDescent="0.3">
      <c r="B23" s="6" t="s">
        <v>13</v>
      </c>
    </row>
  </sheetData>
  <mergeCells count="2">
    <mergeCell ref="A1:C1"/>
    <mergeCell ref="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C13" sqref="C13"/>
    </sheetView>
  </sheetViews>
  <sheetFormatPr defaultRowHeight="14.4" x14ac:dyDescent="0.3"/>
  <cols>
    <col min="1" max="1" width="3" customWidth="1"/>
    <col min="2" max="2" width="73.77734375" bestFit="1" customWidth="1"/>
    <col min="3" max="4" width="20" customWidth="1"/>
    <col min="5" max="5" width="3" customWidth="1"/>
  </cols>
  <sheetData>
    <row r="1" spans="1:4" ht="25.95" customHeight="1" x14ac:dyDescent="0.3">
      <c r="A1" s="28" t="s">
        <v>14</v>
      </c>
      <c r="B1" s="26"/>
      <c r="C1" s="26"/>
      <c r="D1" s="26"/>
    </row>
    <row r="3" spans="1:4" ht="31.95" customHeight="1" x14ac:dyDescent="0.3">
      <c r="B3" s="29" t="s">
        <v>15</v>
      </c>
      <c r="C3" s="26"/>
      <c r="D3" s="26"/>
    </row>
    <row r="5" spans="1:4" ht="15.6" x14ac:dyDescent="0.3">
      <c r="B5" s="25" t="s">
        <v>16</v>
      </c>
      <c r="C5" s="26"/>
      <c r="D5" s="26"/>
    </row>
    <row r="6" spans="1:4" x14ac:dyDescent="0.3">
      <c r="B6" s="5" t="s">
        <v>17</v>
      </c>
      <c r="C6" s="7">
        <v>480000</v>
      </c>
    </row>
    <row r="7" spans="1:4" x14ac:dyDescent="0.3">
      <c r="B7" s="5" t="s">
        <v>18</v>
      </c>
      <c r="C7" s="8">
        <v>0.1</v>
      </c>
    </row>
    <row r="8" spans="1:4" x14ac:dyDescent="0.3">
      <c r="B8" s="5" t="s">
        <v>19</v>
      </c>
      <c r="C8" s="7">
        <v>3800000</v>
      </c>
    </row>
    <row r="9" spans="1:4" x14ac:dyDescent="0.3">
      <c r="B9" s="5" t="s">
        <v>20</v>
      </c>
      <c r="C9" s="9">
        <v>7.5</v>
      </c>
    </row>
    <row r="11" spans="1:4" ht="15.6" x14ac:dyDescent="0.3">
      <c r="B11" s="25" t="s">
        <v>21</v>
      </c>
      <c r="C11" s="26"/>
      <c r="D11" s="26"/>
    </row>
    <row r="12" spans="1:4" x14ac:dyDescent="0.3">
      <c r="B12" s="5" t="s">
        <v>22</v>
      </c>
      <c r="C12" s="10">
        <f>+C6*(1-C7)</f>
        <v>432000</v>
      </c>
    </row>
    <row r="13" spans="1:4" x14ac:dyDescent="0.3">
      <c r="B13" s="5" t="s">
        <v>23</v>
      </c>
      <c r="C13" s="9">
        <f>+C8/C12</f>
        <v>8.7962962962962958</v>
      </c>
    </row>
    <row r="14" spans="1:4" x14ac:dyDescent="0.3">
      <c r="B14" s="5" t="s">
        <v>24</v>
      </c>
      <c r="C14" s="11" t="s">
        <v>77</v>
      </c>
    </row>
    <row r="16" spans="1:4" x14ac:dyDescent="0.3">
      <c r="B16" s="12" t="s">
        <v>25</v>
      </c>
    </row>
  </sheetData>
  <mergeCells count="4">
    <mergeCell ref="A1:D1"/>
    <mergeCell ref="B11:D11"/>
    <mergeCell ref="B3:D3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showGridLines="0" topLeftCell="A38" workbookViewId="0">
      <selection activeCell="G61" sqref="G61"/>
    </sheetView>
  </sheetViews>
  <sheetFormatPr defaultRowHeight="14.4" x14ac:dyDescent="0.3"/>
  <cols>
    <col min="1" max="1" width="3" customWidth="1"/>
    <col min="2" max="2" width="43.77734375" customWidth="1"/>
    <col min="3" max="9" width="14" customWidth="1"/>
    <col min="10" max="10" width="3" customWidth="1"/>
  </cols>
  <sheetData>
    <row r="1" spans="1:9" ht="25.95" customHeight="1" x14ac:dyDescent="0.3">
      <c r="A1" s="28" t="s">
        <v>26</v>
      </c>
      <c r="B1" s="26"/>
      <c r="C1" s="26"/>
      <c r="D1" s="26"/>
      <c r="E1" s="26"/>
      <c r="F1" s="26"/>
      <c r="G1" s="26"/>
      <c r="H1" s="26"/>
      <c r="I1" s="26"/>
    </row>
    <row r="3" spans="1:9" ht="40.049999999999997" customHeight="1" x14ac:dyDescent="0.3">
      <c r="B3" s="29" t="s">
        <v>27</v>
      </c>
      <c r="C3" s="26"/>
      <c r="D3" s="26"/>
      <c r="E3" s="26"/>
      <c r="F3" s="26"/>
      <c r="G3" s="26"/>
      <c r="H3" s="26"/>
      <c r="I3" s="26"/>
    </row>
    <row r="5" spans="1:9" ht="15.6" x14ac:dyDescent="0.3">
      <c r="B5" s="25" t="s">
        <v>16</v>
      </c>
      <c r="C5" s="26"/>
      <c r="D5" s="26"/>
      <c r="E5" s="26"/>
      <c r="F5" s="26"/>
      <c r="G5" s="26"/>
      <c r="H5" s="26"/>
      <c r="I5" s="26"/>
    </row>
    <row r="6" spans="1:9" x14ac:dyDescent="0.3">
      <c r="B6" s="5" t="s">
        <v>28</v>
      </c>
      <c r="C6" s="13">
        <v>12000</v>
      </c>
    </row>
    <row r="7" spans="1:9" x14ac:dyDescent="0.3">
      <c r="B7" s="5" t="s">
        <v>29</v>
      </c>
      <c r="C7" s="7">
        <v>18500</v>
      </c>
    </row>
    <row r="8" spans="1:9" x14ac:dyDescent="0.3">
      <c r="B8" s="5" t="s">
        <v>30</v>
      </c>
      <c r="C8" s="8">
        <v>0.03</v>
      </c>
    </row>
    <row r="9" spans="1:9" x14ac:dyDescent="0.3">
      <c r="B9" s="5" t="s">
        <v>31</v>
      </c>
      <c r="C9" s="7">
        <v>48000</v>
      </c>
    </row>
    <row r="10" spans="1:9" x14ac:dyDescent="0.3">
      <c r="B10" s="5" t="s">
        <v>32</v>
      </c>
      <c r="C10" s="8">
        <v>0.02</v>
      </c>
    </row>
    <row r="11" spans="1:9" x14ac:dyDescent="0.3">
      <c r="B11" s="5" t="s">
        <v>33</v>
      </c>
      <c r="C11" s="8">
        <v>0.08</v>
      </c>
    </row>
    <row r="12" spans="1:9" x14ac:dyDescent="0.3">
      <c r="B12" s="5" t="s">
        <v>34</v>
      </c>
      <c r="C12" s="8">
        <v>7.4999999999999997E-2</v>
      </c>
    </row>
    <row r="13" spans="1:9" x14ac:dyDescent="0.3">
      <c r="B13" s="5" t="s">
        <v>35</v>
      </c>
      <c r="C13" s="14">
        <v>5</v>
      </c>
    </row>
    <row r="14" spans="1:9" x14ac:dyDescent="0.3">
      <c r="B14" s="5" t="s">
        <v>36</v>
      </c>
      <c r="C14" s="8">
        <v>2.5000000000000001E-2</v>
      </c>
    </row>
    <row r="15" spans="1:9" x14ac:dyDescent="0.3">
      <c r="B15" s="5" t="s">
        <v>37</v>
      </c>
      <c r="C15" s="8">
        <v>0.04</v>
      </c>
    </row>
    <row r="17" spans="2:9" ht="15.6" x14ac:dyDescent="0.3">
      <c r="B17" s="25" t="s">
        <v>38</v>
      </c>
      <c r="C17" s="26"/>
      <c r="D17" s="26"/>
      <c r="E17" s="26"/>
      <c r="F17" s="26"/>
      <c r="G17" s="26"/>
      <c r="H17" s="26"/>
      <c r="I17" s="26"/>
    </row>
    <row r="18" spans="2:9" x14ac:dyDescent="0.3">
      <c r="B18" s="15" t="s">
        <v>39</v>
      </c>
      <c r="C18" s="16">
        <v>0</v>
      </c>
      <c r="D18" s="16">
        <v>1</v>
      </c>
      <c r="E18" s="16">
        <v>2</v>
      </c>
      <c r="F18" s="16">
        <v>3</v>
      </c>
      <c r="G18" s="16">
        <v>4</v>
      </c>
      <c r="H18" s="16">
        <v>5</v>
      </c>
      <c r="I18" s="16">
        <v>6</v>
      </c>
    </row>
    <row r="19" spans="2:9" x14ac:dyDescent="0.3">
      <c r="B19" s="1" t="s">
        <v>40</v>
      </c>
      <c r="C19" s="17"/>
      <c r="D19" s="18">
        <f>$C$7*12</f>
        <v>222000</v>
      </c>
      <c r="E19" s="18">
        <f>D19*(1+$C$8)</f>
        <v>228660</v>
      </c>
      <c r="F19" s="18">
        <f>E19*(1+$C$8)</f>
        <v>235519.80000000002</v>
      </c>
      <c r="G19" s="18">
        <f>F19*(1+$C$8)</f>
        <v>242585.39400000003</v>
      </c>
      <c r="H19" s="18">
        <f>G19*(1+$C$8)</f>
        <v>249862.95582000003</v>
      </c>
      <c r="I19" s="18">
        <f>H19*(1+$C$8)</f>
        <v>257358.84449460005</v>
      </c>
    </row>
    <row r="20" spans="2:9" x14ac:dyDescent="0.3">
      <c r="B20" s="1" t="s">
        <v>41</v>
      </c>
      <c r="C20" s="17"/>
      <c r="D20" s="18">
        <f>$C$9</f>
        <v>48000</v>
      </c>
      <c r="E20" s="18">
        <f>D20*(1+$C$10)</f>
        <v>48960</v>
      </c>
      <c r="F20" s="18">
        <f>E20*(1+$C$10)</f>
        <v>49939.200000000004</v>
      </c>
      <c r="G20" s="18">
        <f>F20*(1+$C$10)</f>
        <v>50937.984000000004</v>
      </c>
      <c r="H20" s="18">
        <f>G20*(1+$C$10)</f>
        <v>51956.743680000007</v>
      </c>
      <c r="I20" s="18">
        <f>H20*(1+$C$10)</f>
        <v>52995.878553600007</v>
      </c>
    </row>
    <row r="22" spans="2:9" ht="15.6" x14ac:dyDescent="0.3">
      <c r="B22" s="25" t="s">
        <v>42</v>
      </c>
      <c r="C22" s="26"/>
      <c r="D22" s="26"/>
      <c r="E22" s="26"/>
      <c r="F22" s="26"/>
      <c r="G22" s="26"/>
      <c r="H22" s="26"/>
      <c r="I22" s="26"/>
    </row>
    <row r="23" spans="2:9" x14ac:dyDescent="0.3">
      <c r="B23" s="1" t="s">
        <v>43</v>
      </c>
      <c r="C23" s="19"/>
      <c r="D23" s="10">
        <f>+D19-D20</f>
        <v>174000</v>
      </c>
      <c r="E23" s="10">
        <f t="shared" ref="E23:I23" si="0">+E19-E20</f>
        <v>179700</v>
      </c>
      <c r="F23" s="10">
        <f t="shared" si="0"/>
        <v>185580.6</v>
      </c>
      <c r="G23" s="10">
        <f t="shared" si="0"/>
        <v>191647.41000000003</v>
      </c>
      <c r="H23" s="10">
        <f t="shared" si="0"/>
        <v>197906.21214000002</v>
      </c>
      <c r="I23" s="10">
        <f t="shared" si="0"/>
        <v>204362.96594100003</v>
      </c>
    </row>
    <row r="25" spans="2:9" x14ac:dyDescent="0.3">
      <c r="B25" s="5" t="s">
        <v>44</v>
      </c>
      <c r="C25" s="10">
        <f>+D23/C11</f>
        <v>2175000</v>
      </c>
    </row>
    <row r="26" spans="2:9" x14ac:dyDescent="0.3">
      <c r="B26" s="5" t="s">
        <v>45</v>
      </c>
      <c r="C26" s="10">
        <f>+C14*C25</f>
        <v>54375</v>
      </c>
    </row>
    <row r="27" spans="2:9" x14ac:dyDescent="0.3">
      <c r="B27" s="5" t="s">
        <v>46</v>
      </c>
      <c r="C27" s="21">
        <f>+SUM(C25:C26)</f>
        <v>2229375</v>
      </c>
    </row>
    <row r="29" spans="2:9" x14ac:dyDescent="0.3">
      <c r="B29" s="5" t="s">
        <v>47</v>
      </c>
      <c r="C29" s="10">
        <f>+I23/C12</f>
        <v>2724839.5458800006</v>
      </c>
    </row>
    <row r="30" spans="2:9" x14ac:dyDescent="0.3">
      <c r="B30" s="5" t="s">
        <v>48</v>
      </c>
      <c r="C30" s="10">
        <f>+C29*C15</f>
        <v>108993.58183520002</v>
      </c>
    </row>
    <row r="31" spans="2:9" x14ac:dyDescent="0.3">
      <c r="B31" s="5" t="s">
        <v>49</v>
      </c>
      <c r="C31" s="21">
        <f>+C29-C30</f>
        <v>2615845.9640448005</v>
      </c>
    </row>
    <row r="33" spans="2:9" ht="15.6" x14ac:dyDescent="0.3">
      <c r="B33" s="25" t="s">
        <v>50</v>
      </c>
      <c r="C33" s="26"/>
      <c r="D33" s="26"/>
      <c r="E33" s="26"/>
      <c r="F33" s="26"/>
      <c r="G33" s="26"/>
      <c r="H33" s="26"/>
      <c r="I33" s="26"/>
    </row>
    <row r="34" spans="2:9" x14ac:dyDescent="0.3">
      <c r="B34" s="15" t="s">
        <v>39</v>
      </c>
      <c r="C34" s="16">
        <v>0</v>
      </c>
      <c r="D34" s="16">
        <v>1</v>
      </c>
      <c r="E34" s="16">
        <v>2</v>
      </c>
      <c r="F34" s="16">
        <v>3</v>
      </c>
      <c r="G34" s="16">
        <v>4</v>
      </c>
      <c r="H34" s="16">
        <v>5</v>
      </c>
    </row>
    <row r="35" spans="2:9" x14ac:dyDescent="0.3">
      <c r="B35" s="1" t="s">
        <v>51</v>
      </c>
      <c r="C35" s="10">
        <f>-C27</f>
        <v>-2229375</v>
      </c>
      <c r="D35" s="10">
        <f>+D23</f>
        <v>174000</v>
      </c>
      <c r="E35" s="10">
        <f t="shared" ref="E35:G35" si="1">+E23</f>
        <v>179700</v>
      </c>
      <c r="F35" s="10">
        <f t="shared" si="1"/>
        <v>185580.6</v>
      </c>
      <c r="G35" s="10">
        <f t="shared" si="1"/>
        <v>191647.41000000003</v>
      </c>
      <c r="H35" s="10">
        <f>+H23+C31</f>
        <v>2813752.1761848005</v>
      </c>
    </row>
    <row r="37" spans="2:9" x14ac:dyDescent="0.3">
      <c r="B37" s="5" t="s">
        <v>52</v>
      </c>
      <c r="C37" s="20">
        <f>+IRR(C35:H35)</f>
        <v>0.11057178444512816</v>
      </c>
    </row>
    <row r="39" spans="2:9" x14ac:dyDescent="0.3">
      <c r="B39" s="12" t="s">
        <v>53</v>
      </c>
    </row>
    <row r="42" spans="2:9" ht="15.6" x14ac:dyDescent="0.3">
      <c r="B42" s="25" t="s">
        <v>54</v>
      </c>
      <c r="C42" s="26"/>
      <c r="D42" s="26"/>
      <c r="E42" s="26"/>
      <c r="F42" s="26"/>
      <c r="G42" s="26"/>
      <c r="H42" s="26"/>
      <c r="I42" s="26"/>
    </row>
    <row r="43" spans="2:9" x14ac:dyDescent="0.3">
      <c r="B43" s="27" t="s">
        <v>55</v>
      </c>
      <c r="C43" s="26"/>
      <c r="D43" s="26"/>
      <c r="E43" s="26"/>
      <c r="F43" s="26"/>
      <c r="G43" s="26"/>
      <c r="H43" s="26"/>
    </row>
    <row r="45" spans="2:9" x14ac:dyDescent="0.3">
      <c r="B45" s="5" t="s">
        <v>56</v>
      </c>
      <c r="C45" s="8">
        <v>0.6</v>
      </c>
    </row>
    <row r="46" spans="2:9" x14ac:dyDescent="0.3">
      <c r="B46" s="5" t="s">
        <v>57</v>
      </c>
      <c r="C46" s="8">
        <v>8.5000000000000006E-2</v>
      </c>
    </row>
    <row r="48" spans="2:9" x14ac:dyDescent="0.3">
      <c r="B48" s="5" t="s">
        <v>58</v>
      </c>
      <c r="C48" s="21">
        <f>+C45*C27</f>
        <v>1337625</v>
      </c>
    </row>
    <row r="49" spans="2:8" x14ac:dyDescent="0.3">
      <c r="B49" s="5" t="s">
        <v>59</v>
      </c>
      <c r="C49" s="10">
        <f>+C48*C46</f>
        <v>113698.12500000001</v>
      </c>
    </row>
    <row r="50" spans="2:8" x14ac:dyDescent="0.3">
      <c r="B50" s="5" t="s">
        <v>60</v>
      </c>
      <c r="C50" s="21">
        <f>+C27-C48</f>
        <v>891750</v>
      </c>
    </row>
    <row r="52" spans="2:8" x14ac:dyDescent="0.3">
      <c r="B52" s="15" t="s">
        <v>39</v>
      </c>
      <c r="C52" s="16">
        <v>0</v>
      </c>
      <c r="D52" s="16">
        <v>1</v>
      </c>
      <c r="E52" s="16">
        <v>2</v>
      </c>
      <c r="F52" s="16">
        <v>3</v>
      </c>
      <c r="G52" s="16">
        <v>4</v>
      </c>
      <c r="H52" s="16">
        <v>5</v>
      </c>
    </row>
    <row r="53" spans="2:8" x14ac:dyDescent="0.3">
      <c r="B53" s="1" t="s">
        <v>61</v>
      </c>
      <c r="C53" s="10">
        <f>-C50</f>
        <v>-891750</v>
      </c>
      <c r="D53" s="10">
        <f>+D35-$C$49</f>
        <v>60301.874999999985</v>
      </c>
      <c r="E53" s="10">
        <f t="shared" ref="E53:G53" si="2">+E35-$C$49</f>
        <v>66001.874999999985</v>
      </c>
      <c r="F53" s="10">
        <f t="shared" si="2"/>
        <v>71882.474999999991</v>
      </c>
      <c r="G53" s="10">
        <f t="shared" si="2"/>
        <v>77949.285000000018</v>
      </c>
      <c r="H53" s="10">
        <f>+H35-$C$49-C48</f>
        <v>1362429.0511848005</v>
      </c>
    </row>
    <row r="55" spans="2:8" x14ac:dyDescent="0.3">
      <c r="B55" s="5" t="s">
        <v>62</v>
      </c>
      <c r="C55" s="20">
        <f>+D53/C50</f>
        <v>6.7621951219512172E-2</v>
      </c>
    </row>
    <row r="56" spans="2:8" x14ac:dyDescent="0.3">
      <c r="B56" s="5" t="s">
        <v>63</v>
      </c>
      <c r="C56" s="20">
        <f>+IRR(C53:H53)</f>
        <v>0.14406746530911052</v>
      </c>
    </row>
    <row r="57" spans="2:8" x14ac:dyDescent="0.3">
      <c r="B57" s="5" t="s">
        <v>64</v>
      </c>
      <c r="C57" s="22" t="s">
        <v>78</v>
      </c>
      <c r="D57" s="23"/>
      <c r="E57" s="24"/>
    </row>
  </sheetData>
  <mergeCells count="9">
    <mergeCell ref="C57:E57"/>
    <mergeCell ref="B33:I33"/>
    <mergeCell ref="B43:H43"/>
    <mergeCell ref="A1:I1"/>
    <mergeCell ref="B42:I42"/>
    <mergeCell ref="B3:I3"/>
    <mergeCell ref="B5:I5"/>
    <mergeCell ref="B22:I22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abSelected="1" workbookViewId="0">
      <selection activeCell="C17" sqref="C17:D17"/>
    </sheetView>
  </sheetViews>
  <sheetFormatPr defaultRowHeight="14.4" x14ac:dyDescent="0.3"/>
  <cols>
    <col min="1" max="1" width="3" customWidth="1"/>
    <col min="2" max="2" width="46" customWidth="1"/>
    <col min="3" max="3" width="20" customWidth="1"/>
    <col min="4" max="4" width="3" customWidth="1"/>
  </cols>
  <sheetData>
    <row r="1" spans="1:8" ht="25.95" customHeight="1" x14ac:dyDescent="0.3">
      <c r="A1" s="28" t="s">
        <v>65</v>
      </c>
      <c r="B1" s="26"/>
      <c r="C1" s="26"/>
      <c r="D1" s="26"/>
    </row>
    <row r="3" spans="1:8" ht="31.95" customHeight="1" x14ac:dyDescent="0.3">
      <c r="B3" s="31" t="s">
        <v>66</v>
      </c>
      <c r="C3" s="31"/>
      <c r="D3" s="31"/>
      <c r="E3" s="31"/>
      <c r="F3" s="31"/>
      <c r="G3" s="31"/>
      <c r="H3" s="31"/>
    </row>
    <row r="5" spans="1:8" ht="15.6" x14ac:dyDescent="0.3">
      <c r="B5" s="25" t="s">
        <v>67</v>
      </c>
      <c r="C5" s="26"/>
    </row>
    <row r="6" spans="1:8" x14ac:dyDescent="0.3">
      <c r="B6" s="5" t="s">
        <v>68</v>
      </c>
      <c r="C6" s="7">
        <v>9200000</v>
      </c>
    </row>
    <row r="7" spans="1:8" x14ac:dyDescent="0.3">
      <c r="B7" s="5" t="s">
        <v>69</v>
      </c>
      <c r="C7" s="7">
        <v>650000</v>
      </c>
    </row>
    <row r="8" spans="1:8" x14ac:dyDescent="0.3">
      <c r="B8" s="5" t="s">
        <v>70</v>
      </c>
      <c r="C8" s="7">
        <v>300000</v>
      </c>
    </row>
    <row r="9" spans="1:8" x14ac:dyDescent="0.3">
      <c r="B9" s="5" t="s">
        <v>71</v>
      </c>
      <c r="C9" s="7">
        <v>0</v>
      </c>
    </row>
    <row r="11" spans="1:8" ht="28.05" customHeight="1" x14ac:dyDescent="0.3">
      <c r="B11" s="2" t="s">
        <v>72</v>
      </c>
      <c r="C11" s="10">
        <f>+C6-C7-C8</f>
        <v>8250000</v>
      </c>
    </row>
    <row r="13" spans="1:8" ht="15.6" x14ac:dyDescent="0.3">
      <c r="B13" s="25" t="s">
        <v>73</v>
      </c>
      <c r="C13" s="26"/>
    </row>
    <row r="14" spans="1:8" x14ac:dyDescent="0.3">
      <c r="B14" s="5" t="s">
        <v>74</v>
      </c>
      <c r="C14" s="7">
        <v>8100000</v>
      </c>
    </row>
    <row r="15" spans="1:8" x14ac:dyDescent="0.3">
      <c r="B15" s="5" t="s">
        <v>75</v>
      </c>
      <c r="C15" s="7">
        <v>8350000</v>
      </c>
    </row>
    <row r="17" spans="2:4" ht="30" customHeight="1" x14ac:dyDescent="0.3">
      <c r="B17" s="2" t="s">
        <v>76</v>
      </c>
      <c r="C17" s="32" t="s">
        <v>79</v>
      </c>
      <c r="D17" s="30"/>
    </row>
  </sheetData>
  <mergeCells count="5">
    <mergeCell ref="B13:C13"/>
    <mergeCell ref="A1:D1"/>
    <mergeCell ref="B5:C5"/>
    <mergeCell ref="C17:D17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Caso A - GIM</vt:lpstr>
      <vt:lpstr>Caso B - NOI CapRate TIR</vt:lpstr>
      <vt:lpstr>Caso C - Cost Approach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Silva</cp:lastModifiedBy>
  <dcterms:created xsi:type="dcterms:W3CDTF">2026-09-17T22:36:24Z</dcterms:created>
  <dcterms:modified xsi:type="dcterms:W3CDTF">2026-09-17T23:17:30Z</dcterms:modified>
</cp:coreProperties>
</file>